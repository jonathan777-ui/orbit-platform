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te Card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<sst xmlns="http://schemas.openxmlformats.org/spreadsheetml/2006/main" count="110" uniqueCount="108">
  <si>
    <t xml:space="preserve">ORBIT AI — MASTER RATE CARD</t>
  </si>
  <si>
    <t xml:space="preserve">Single source of truth — edit blue cells; everything else recomputes. All other Orbit docs point here.</t>
  </si>
  <si>
    <t xml:space="preserve">Legend:  blue = input you edit   ·   black = calculated</t>
  </si>
  <si>
    <t xml:space="preserve">①  PRODUCT CATALOG &amp; UPSELL TIERS  (monthly wholesale per client)</t>
  </si>
  <si>
    <t xml:space="preserve">Product</t>
  </si>
  <si>
    <t xml:space="preserve">Include 0/1</t>
  </si>
  <si>
    <t xml:space="preserve">Standard $</t>
  </si>
  <si>
    <t xml:space="preserve">Advanced $</t>
  </si>
  <si>
    <t xml:space="preserve">Premium $</t>
  </si>
  <si>
    <t xml:space="preserve">Tier 1-3</t>
  </si>
  <si>
    <t xml:space="preserve">Wholesale</t>
  </si>
  <si>
    <t xml:space="preserve">Est. cost</t>
  </si>
  <si>
    <t xml:space="preserve">Higher tiers add…</t>
  </si>
  <si>
    <t xml:space="preserve">Co-op access</t>
  </si>
  <si>
    <t xml:space="preserve">More seats, priority support, SLAs</t>
  </si>
  <si>
    <t xml:space="preserve">AI Receptionist</t>
  </si>
  <si>
    <t xml:space="preserve">More minutes, custom voice, multi-location routing, integrations</t>
  </si>
  <si>
    <t xml:space="preserve">Chatbot</t>
  </si>
  <si>
    <t xml:space="preserve">Multi-channel, custom flows, CRM actions</t>
  </si>
  <si>
    <t xml:space="preserve">Website</t>
  </si>
  <si>
    <t xml:space="preserve">More pages, A/B testing, custom design, integrations</t>
  </si>
  <si>
    <t xml:space="preserve">Content Generation</t>
  </si>
  <si>
    <t xml:space="preserve">Creative, vertical-specific copy — premium model for hero content, not generic AI</t>
  </si>
  <si>
    <t xml:space="preserve">Advanced AIO</t>
  </si>
  <si>
    <t xml:space="preserve">Answer-engine optimization, schema, entity feeds</t>
  </si>
  <si>
    <t xml:space="preserve">SEO</t>
  </si>
  <si>
    <t xml:space="preserve">Content cadence, backlinks, local packs, reporting</t>
  </si>
  <si>
    <t xml:space="preserve">Social &amp; Ad Management</t>
  </si>
  <si>
    <t xml:space="preserve">Campaigns, creative, optimization; ad spend at cost +10% pass-through</t>
  </si>
  <si>
    <t xml:space="preserve">Custom CRM (Attio stack)</t>
  </si>
  <si>
    <t xml:space="preserve">Custom objects, automations, dashboards, data services</t>
  </si>
  <si>
    <t xml:space="preserve">Comms Hub — Unified Mailbox</t>
  </si>
  <si>
    <t xml:space="preserve">Email + SMS + Care inbox, routing, templates, analytics</t>
  </si>
  <si>
    <t xml:space="preserve">Customer Portal</t>
  </si>
  <si>
    <t xml:space="preserve">Tickets, service desk, new-service requests, in-portal upsell &amp; adoption</t>
  </si>
  <si>
    <t xml:space="preserve">②  FLOOR &amp; MARGIN  (selected bundle = Include × chosen tier)</t>
  </si>
  <si>
    <t xml:space="preserve">FLOOR (bundle wholesale)</t>
  </si>
  <si>
    <t xml:space="preserve">nothing clears below this</t>
  </si>
  <si>
    <t xml:space="preserve">True cost (bundle)</t>
  </si>
  <si>
    <t xml:space="preserve">Margin inside floor</t>
  </si>
  <si>
    <t xml:space="preserve">Floor margin %</t>
  </si>
  <si>
    <t xml:space="preserve">③  RETAIL, MARKUP CEILING &amp; EXCESS SPLIT</t>
  </si>
  <si>
    <t xml:space="preserve">Retail price (end user)</t>
  </si>
  <si>
    <t xml:space="preserve">what the client pays before any rebate</t>
  </si>
  <si>
    <t xml:space="preserve">Markup multiple (retail / floor)</t>
  </si>
  <si>
    <t xml:space="preserve">Markup ceiling (x wholesale)</t>
  </si>
  <si>
    <t xml:space="preserve">fair-price cap; exempt enterprise/custom</t>
  </si>
  <si>
    <t xml:space="preserve">Capped retail (floor x ceiling)</t>
  </si>
  <si>
    <t xml:space="preserve">Excess over cap</t>
  </si>
  <si>
    <t xml:space="preserve">only triggers when a producer over-marks</t>
  </si>
  <si>
    <t xml:space="preserve">   Split of excess  (B32:B34 must total 100%):</t>
  </si>
  <si>
    <t xml:space="preserve">   → to client rebate %</t>
  </si>
  <si>
    <t xml:space="preserve">   → to co-op savings pool %</t>
  </si>
  <si>
    <t xml:space="preserve">   → to producer %</t>
  </si>
  <si>
    <t xml:space="preserve">Check — split total</t>
  </si>
  <si>
    <t xml:space="preserve">must equal 100%</t>
  </si>
  <si>
    <t xml:space="preserve">Client rebate $</t>
  </si>
  <si>
    <t xml:space="preserve">Effective client price</t>
  </si>
  <si>
    <t xml:space="preserve">Co-op pool $</t>
  </si>
  <si>
    <t xml:space="preserve">Producer excess $</t>
  </si>
  <si>
    <t xml:space="preserve">④  SPREAD &amp; GRADUATED SPLIT  (below the cap)</t>
  </si>
  <si>
    <t xml:space="preserve">Spread below cap (min(retail,cap) - floor)</t>
  </si>
  <si>
    <t xml:space="preserve">Producer stage</t>
  </si>
  <si>
    <t xml:space="preserve">Platform %</t>
  </si>
  <si>
    <t xml:space="preserve">Producer %</t>
  </si>
  <si>
    <t xml:space="preserve">Platform $</t>
  </si>
  <si>
    <t xml:space="preserve">Producer $</t>
  </si>
  <si>
    <t xml:space="preserve">Starting (direct rep = 50/50)</t>
  </si>
  <si>
    <t xml:space="preserve">Growing</t>
  </si>
  <si>
    <t xml:space="preserve">Top tier</t>
  </si>
  <si>
    <t xml:space="preserve">Setter payout (% of platform $)</t>
  </si>
  <si>
    <t xml:space="preserve">Setter $ (Starting stage)</t>
  </si>
  <si>
    <t xml:space="preserve">Orbit net spread (Starting, after setter)</t>
  </si>
  <si>
    <t xml:space="preserve">⑤  FLOOR DECAY BY VOLUME  (true cost falls with scale)</t>
  </si>
  <si>
    <t xml:space="preserve">Max cost reduction at 10k clients</t>
  </si>
  <si>
    <t xml:space="preserve">Clients on network</t>
  </si>
  <si>
    <t xml:space="preserve">Cost reduction</t>
  </si>
  <si>
    <t xml:space="preserve">True cost</t>
  </si>
  <si>
    <t xml:space="preserve">Floor</t>
  </si>
  <si>
    <t xml:space="preserve">⑥  MONTHLY P&amp;L  (Starting-stage split, at volume)</t>
  </si>
  <si>
    <t xml:space="preserve">Clients (paying)</t>
  </si>
  <si>
    <t xml:space="preserve">Monthly net revenue (after rebate)</t>
  </si>
  <si>
    <t xml:space="preserve">Monthly true cost</t>
  </si>
  <si>
    <t xml:space="preserve">Monthly floor margin</t>
  </si>
  <si>
    <t xml:space="preserve">Monthly spread (below cap)</t>
  </si>
  <si>
    <t xml:space="preserve">Co-op pool contribution</t>
  </si>
  <si>
    <t xml:space="preserve">Orbit monthly gross (floor margin + net spread)</t>
  </si>
  <si>
    <t xml:space="preserve">Partner monthly (Starting + excess)</t>
  </si>
  <si>
    <t xml:space="preserve">Markup ceiling: above the cap, excess splits — bulk to the client (savings), a share to the co-op pool (lowers everyone's floor over time), a slice to the producer so value-selling isn't punished. Exempt enterprise/custom (value-based pricing exceeds 5x).</t>
  </si>
  <si>
    <t xml:space="preserve">Notes: receptionist minutes &amp; ad spend ride on top at cost +10%, separate from the floor. Content Generation rewards creative, vertical-specific output — premium model on hero content, cheap model on bulk. All figures illustrative — replace with real numbers and recalculate.</t>
  </si>
  <si>
    <t xml:space="preserve">⑦  CRM SUITE — SEATS (BUNDLED) &amp; METERED UPSELLS</t>
  </si>
  <si>
    <t xml:space="preserve">Seats are BUNDLED, not per-head — marginal cost ≈ $0. Unlimited seats by role: Admin · Support · Executive suite · Sales rep (CRM user, not the end customer). Bundling maximizes adoption and lock-in; per-seat fees would suppress both.</t>
  </si>
  <si>
    <t xml:space="preserve">"Agency Team" tier</t>
  </si>
  <si>
    <t xml:space="preserve">FOREVER FREE</t>
  </si>
  <si>
    <t xml:space="preserve">basic CRM + unlimited team seats — adoption engine (PLG wedge)</t>
  </si>
  <si>
    <t xml:space="preserve">Metered upsell</t>
  </si>
  <si>
    <t xml:space="preserve">Unit</t>
  </si>
  <si>
    <t xml:space="preserve">Notes</t>
  </si>
  <si>
    <t xml:space="preserve">Sales Dialer</t>
  </si>
  <si>
    <t xml:space="preserve">per minute</t>
  </si>
  <si>
    <t xml:space="preserve">Telnyx cost +10%; only on dialer-enabled seats</t>
  </si>
  <si>
    <t xml:space="preserve">E-Sign</t>
  </si>
  <si>
    <t xml:space="preserve">per envelope</t>
  </si>
  <si>
    <t xml:space="preserve">per completed envelope</t>
  </si>
  <si>
    <t xml:space="preserve">AI actions (bulk)</t>
  </si>
  <si>
    <t xml:space="preserve">per 1k actions</t>
  </si>
  <si>
    <t xml:space="preserve">cheap model on bulk, premium on hero output</t>
  </si>
  <si>
    <t xml:space="preserve">Guardrail: free/bundled = seats + zero-cost features only. Anything touching telecom, an e-sign vendor, or heavy compute is metered REGARDLESS of seat status — that is what keeps 'unlimited free seats' from becoming an unlimited bill. Role-based provisioning means each seat incurs cost only when it uses a metered feature.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</si>
</sst>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\$#,##0"/>
    <numFmt numFmtId="167" formatCode="\$#,##0.00"/>
    <numFmt numFmtId="168" formatCode="0.0%"/>
    <numFmt numFmtId="169" formatCode="0.0\x"/>
    <numFmt numFmtId="170" formatCode="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sz val="10"/>
      <color rgb="FFCADCFC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C1124"/>
        <bgColor rgb="FF000000"/>
      </patternFill>
    </fill>
    <fill>
      <patternFill patternType="solid">
        <fgColor rgb="FF26305A"/>
        <bgColor rgb="FF003366"/>
      </patternFill>
    </fill>
    <fill>
      <patternFill patternType="solid">
        <fgColor rgb="FFDDE3FF"/>
        <bgColor rgb="FFE8ECFF"/>
      </patternFill>
    </fill>
    <fill>
      <patternFill patternType="solid">
        <fgColor rgb="FFE8ECFF"/>
        <bgColor rgb="FFDDE3FF"/>
      </patternFill>
    </fill>
    <fill>
      <patternFill patternType="solid">
        <fgColor rgb="FFFFF3D6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D6"/>
      <rgbColor rgb="FFE8ECFF"/>
      <rgbColor rgb="FF660066"/>
      <rgbColor rgb="FFFF8080"/>
      <rgbColor rgb="FF0066CC"/>
      <rgbColor rgb="FFCADCF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3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C1124"/>
      <rgbColor rgb="FF333300"/>
      <rgbColor rgb="FF993300"/>
      <rgbColor rgb="FF993366"/>
      <rgbColor rgb="FF333399"/>
      <rgbColor rgb="FF26305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5" min="2" style="0" width="11"/>
    <col collapsed="false" customWidth="true" hidden="false" outlineLevel="0" max="6" min="6" style="0" width="7"/>
    <col collapsed="false" customWidth="true" hidden="false" outlineLevel="0" max="7" min="7" style="0" width="11"/>
    <col collapsed="false" customWidth="true" hidden="false" outlineLevel="0" max="8" min="8" style="0" width="10"/>
    <col collapsed="false" customWidth="true" hidden="false" outlineLevel="0" max="9" min="9" style="0" width="4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</row>
    <row r="5" customFormat="false" ht="19.5" hidden="false" customHeight="true" outlineLevel="0" collapsed="false">
      <c r="A5" s="4" t="s">
        <v>3</v>
      </c>
      <c r="B5" s="4"/>
      <c r="C5" s="4"/>
      <c r="D5" s="4"/>
      <c r="E5" s="4"/>
      <c r="F5" s="4"/>
      <c r="G5" s="4"/>
      <c r="H5" s="4"/>
      <c r="I5" s="4"/>
    </row>
    <row r="6" customFormat="false" ht="27.75" hidden="false" customHeight="true" outlineLevel="0" collapsed="false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  <c r="I6" s="5" t="s">
        <v>12</v>
      </c>
    </row>
    <row r="7" customFormat="false" ht="15" hidden="false" customHeight="false" outlineLevel="0" collapsed="false">
      <c r="A7" s="6" t="s">
        <v>13</v>
      </c>
      <c r="B7" s="7" t="n">
        <v>1</v>
      </c>
      <c r="C7" s="8" t="n">
        <v>39</v>
      </c>
      <c r="D7" s="8" t="n">
        <v>69</v>
      </c>
      <c r="E7" s="8" t="n">
        <v>109</v>
      </c>
      <c r="F7" s="7" t="n">
        <v>1</v>
      </c>
      <c r="G7" s="9" t="n">
        <f aca="false">CHOOSE(F7,C7,D7,E7)</f>
        <v>39</v>
      </c>
      <c r="H7" s="10" t="n">
        <v>3</v>
      </c>
      <c r="I7" s="11" t="s">
        <v>14</v>
      </c>
    </row>
    <row r="8" customFormat="false" ht="15" hidden="false" customHeight="false" outlineLevel="0" collapsed="false">
      <c r="A8" s="6" t="s">
        <v>15</v>
      </c>
      <c r="B8" s="7" t="n">
        <v>1</v>
      </c>
      <c r="C8" s="8" t="n">
        <v>49</v>
      </c>
      <c r="D8" s="8" t="n">
        <v>99</v>
      </c>
      <c r="E8" s="8" t="n">
        <v>179</v>
      </c>
      <c r="F8" s="7" t="n">
        <v>1</v>
      </c>
      <c r="G8" s="9" t="n">
        <f aca="false">CHOOSE(F8,C8,D8,E8)</f>
        <v>49</v>
      </c>
      <c r="H8" s="10" t="n">
        <v>12</v>
      </c>
      <c r="I8" s="11" t="s">
        <v>16</v>
      </c>
    </row>
    <row r="9" customFormat="false" ht="15" hidden="false" customHeight="false" outlineLevel="0" collapsed="false">
      <c r="A9" s="6" t="s">
        <v>17</v>
      </c>
      <c r="B9" s="7" t="n">
        <v>1</v>
      </c>
      <c r="C9" s="8" t="n">
        <v>19</v>
      </c>
      <c r="D9" s="8" t="n">
        <v>39</v>
      </c>
      <c r="E9" s="8" t="n">
        <v>79</v>
      </c>
      <c r="F9" s="7" t="n">
        <v>1</v>
      </c>
      <c r="G9" s="9" t="n">
        <f aca="false">CHOOSE(F9,C9,D9,E9)</f>
        <v>19</v>
      </c>
      <c r="H9" s="10" t="n">
        <v>1</v>
      </c>
      <c r="I9" s="11" t="s">
        <v>18</v>
      </c>
    </row>
    <row r="10" customFormat="false" ht="15" hidden="false" customHeight="false" outlineLevel="0" collapsed="false">
      <c r="A10" s="6" t="s">
        <v>19</v>
      </c>
      <c r="B10" s="7" t="n">
        <v>1</v>
      </c>
      <c r="C10" s="8" t="n">
        <v>29</v>
      </c>
      <c r="D10" s="8" t="n">
        <v>59</v>
      </c>
      <c r="E10" s="8" t="n">
        <v>119</v>
      </c>
      <c r="F10" s="7" t="n">
        <v>1</v>
      </c>
      <c r="G10" s="9" t="n">
        <f aca="false">CHOOSE(F10,C10,D10,E10)</f>
        <v>29</v>
      </c>
      <c r="H10" s="10" t="n">
        <v>2</v>
      </c>
      <c r="I10" s="11" t="s">
        <v>20</v>
      </c>
    </row>
    <row r="11" customFormat="false" ht="15" hidden="false" customHeight="false" outlineLevel="0" collapsed="false">
      <c r="A11" s="6" t="s">
        <v>21</v>
      </c>
      <c r="B11" s="7" t="n">
        <v>0</v>
      </c>
      <c r="C11" s="8" t="n">
        <v>29</v>
      </c>
      <c r="D11" s="8" t="n">
        <v>59</v>
      </c>
      <c r="E11" s="8" t="n">
        <v>119</v>
      </c>
      <c r="F11" s="7" t="n">
        <v>1</v>
      </c>
      <c r="G11" s="9" t="n">
        <f aca="false">CHOOSE(F11,C11,D11,E11)</f>
        <v>29</v>
      </c>
      <c r="H11" s="10" t="n">
        <v>2</v>
      </c>
      <c r="I11" s="11" t="s">
        <v>22</v>
      </c>
    </row>
    <row r="12" customFormat="false" ht="15" hidden="false" customHeight="false" outlineLevel="0" collapsed="false">
      <c r="A12" s="6" t="s">
        <v>23</v>
      </c>
      <c r="B12" s="7" t="n">
        <v>0</v>
      </c>
      <c r="C12" s="8" t="n">
        <v>39</v>
      </c>
      <c r="D12" s="8" t="n">
        <v>79</v>
      </c>
      <c r="E12" s="8" t="n">
        <v>149</v>
      </c>
      <c r="F12" s="7" t="n">
        <v>1</v>
      </c>
      <c r="G12" s="9" t="n">
        <f aca="false">CHOOSE(F12,C12,D12,E12)</f>
        <v>39</v>
      </c>
      <c r="H12" s="10" t="n">
        <v>3</v>
      </c>
      <c r="I12" s="11" t="s">
        <v>24</v>
      </c>
    </row>
    <row r="13" customFormat="false" ht="15" hidden="false" customHeight="false" outlineLevel="0" collapsed="false">
      <c r="A13" s="6" t="s">
        <v>25</v>
      </c>
      <c r="B13" s="7" t="n">
        <v>0</v>
      </c>
      <c r="C13" s="8" t="n">
        <v>49</v>
      </c>
      <c r="D13" s="8" t="n">
        <v>99</v>
      </c>
      <c r="E13" s="8" t="n">
        <v>199</v>
      </c>
      <c r="F13" s="7" t="n">
        <v>1</v>
      </c>
      <c r="G13" s="9" t="n">
        <f aca="false">CHOOSE(F13,C13,D13,E13)</f>
        <v>49</v>
      </c>
      <c r="H13" s="10" t="n">
        <v>4</v>
      </c>
      <c r="I13" s="11" t="s">
        <v>26</v>
      </c>
    </row>
    <row r="14" customFormat="false" ht="15" hidden="false" customHeight="false" outlineLevel="0" collapsed="false">
      <c r="A14" s="6" t="s">
        <v>27</v>
      </c>
      <c r="B14" s="7" t="n">
        <v>0</v>
      </c>
      <c r="C14" s="8" t="n">
        <v>99</v>
      </c>
      <c r="D14" s="8" t="n">
        <v>199</v>
      </c>
      <c r="E14" s="8" t="n">
        <v>399</v>
      </c>
      <c r="F14" s="7" t="n">
        <v>1</v>
      </c>
      <c r="G14" s="9" t="n">
        <f aca="false">CHOOSE(F14,C14,D14,E14)</f>
        <v>99</v>
      </c>
      <c r="H14" s="10" t="n">
        <v>5</v>
      </c>
      <c r="I14" s="11" t="s">
        <v>28</v>
      </c>
    </row>
    <row r="15" customFormat="false" ht="15" hidden="false" customHeight="false" outlineLevel="0" collapsed="false">
      <c r="A15" s="6" t="s">
        <v>29</v>
      </c>
      <c r="B15" s="7" t="n">
        <v>0</v>
      </c>
      <c r="C15" s="8" t="n">
        <v>39</v>
      </c>
      <c r="D15" s="8" t="n">
        <v>89</v>
      </c>
      <c r="E15" s="8" t="n">
        <v>169</v>
      </c>
      <c r="F15" s="7" t="n">
        <v>1</v>
      </c>
      <c r="G15" s="9" t="n">
        <f aca="false">CHOOSE(F15,C15,D15,E15)</f>
        <v>39</v>
      </c>
      <c r="H15" s="10" t="n">
        <v>6</v>
      </c>
      <c r="I15" s="11" t="s">
        <v>30</v>
      </c>
    </row>
    <row r="16" customFormat="false" ht="15" hidden="false" customHeight="false" outlineLevel="0" collapsed="false">
      <c r="A16" s="6" t="s">
        <v>31</v>
      </c>
      <c r="B16" s="7" t="n">
        <v>0</v>
      </c>
      <c r="C16" s="8" t="n">
        <v>29</v>
      </c>
      <c r="D16" s="8" t="n">
        <v>59</v>
      </c>
      <c r="E16" s="8" t="n">
        <v>109</v>
      </c>
      <c r="F16" s="7" t="n">
        <v>1</v>
      </c>
      <c r="G16" s="9" t="n">
        <f aca="false">CHOOSE(F16,C16,D16,E16)</f>
        <v>29</v>
      </c>
      <c r="H16" s="10" t="n">
        <v>4</v>
      </c>
      <c r="I16" s="11" t="s">
        <v>32</v>
      </c>
    </row>
    <row r="17" customFormat="false" ht="15" hidden="false" customHeight="false" outlineLevel="0" collapsed="false">
      <c r="A17" s="6" t="s">
        <v>33</v>
      </c>
      <c r="B17" s="7" t="n">
        <v>0</v>
      </c>
      <c r="C17" s="8" t="n">
        <v>19</v>
      </c>
      <c r="D17" s="8" t="n">
        <v>39</v>
      </c>
      <c r="E17" s="8" t="n">
        <v>79</v>
      </c>
      <c r="F17" s="7" t="n">
        <v>1</v>
      </c>
      <c r="G17" s="9" t="n">
        <f aca="false">CHOOSE(F17,C17,D17,E17)</f>
        <v>19</v>
      </c>
      <c r="H17" s="10" t="n">
        <v>2</v>
      </c>
      <c r="I17" s="11" t="s">
        <v>34</v>
      </c>
    </row>
    <row r="19" customFormat="false" ht="19.5" hidden="false" customHeight="true" outlineLevel="0" collapsed="false">
      <c r="A19" s="4" t="s">
        <v>35</v>
      </c>
      <c r="B19" s="4"/>
      <c r="C19" s="4"/>
      <c r="D19" s="4"/>
      <c r="E19" s="4"/>
      <c r="F19" s="4"/>
      <c r="G19" s="4"/>
      <c r="H19" s="4"/>
      <c r="I19" s="4"/>
    </row>
    <row r="20" customFormat="false" ht="15" hidden="false" customHeight="false" outlineLevel="0" collapsed="false">
      <c r="A20" s="12" t="s">
        <v>36</v>
      </c>
      <c r="B20" s="13" t="n">
        <f aca="false">SUMPRODUCT(B7:B17,G7:G17)</f>
        <v>136</v>
      </c>
      <c r="C20" s="3" t="s">
        <v>37</v>
      </c>
      <c r="D20" s="3"/>
      <c r="E20" s="3"/>
      <c r="F20" s="3"/>
      <c r="G20" s="3"/>
      <c r="H20" s="3"/>
      <c r="I20" s="3"/>
    </row>
    <row r="21" customFormat="false" ht="15" hidden="false" customHeight="false" outlineLevel="0" collapsed="false">
      <c r="A21" s="6" t="s">
        <v>38</v>
      </c>
      <c r="B21" s="14" t="n">
        <f aca="false">SUMPRODUCT(B7:B17,H7:H17)</f>
        <v>18</v>
      </c>
    </row>
    <row r="22" customFormat="false" ht="15" hidden="false" customHeight="false" outlineLevel="0" collapsed="false">
      <c r="A22" s="6" t="s">
        <v>39</v>
      </c>
      <c r="B22" s="14" t="n">
        <f aca="false">B20-B21</f>
        <v>118</v>
      </c>
    </row>
    <row r="23" customFormat="false" ht="15" hidden="false" customHeight="false" outlineLevel="0" collapsed="false">
      <c r="A23" s="6" t="s">
        <v>40</v>
      </c>
      <c r="B23" s="15" t="n">
        <f aca="false">B22/B20</f>
        <v>0.867647058823529</v>
      </c>
    </row>
    <row r="25" customFormat="false" ht="19.5" hidden="false" customHeight="true" outlineLevel="0" collapsed="false">
      <c r="A25" s="4" t="s">
        <v>41</v>
      </c>
      <c r="B25" s="4"/>
      <c r="C25" s="4"/>
      <c r="D25" s="4"/>
      <c r="E25" s="4"/>
      <c r="F25" s="4"/>
      <c r="G25" s="4"/>
      <c r="H25" s="4"/>
      <c r="I25" s="4"/>
    </row>
    <row r="26" customFormat="false" ht="15" hidden="false" customHeight="false" outlineLevel="0" collapsed="false">
      <c r="A26" s="6" t="s">
        <v>42</v>
      </c>
      <c r="B26" s="8" t="n">
        <v>397</v>
      </c>
      <c r="C26" s="3" t="s">
        <v>43</v>
      </c>
      <c r="D26" s="3"/>
      <c r="E26" s="3"/>
      <c r="F26" s="3"/>
      <c r="G26" s="3"/>
      <c r="H26" s="3"/>
      <c r="I26" s="3"/>
    </row>
    <row r="27" customFormat="false" ht="15" hidden="false" customHeight="false" outlineLevel="0" collapsed="false">
      <c r="A27" s="6" t="s">
        <v>44</v>
      </c>
      <c r="B27" s="16" t="n">
        <f aca="false">B26/B20</f>
        <v>2.91911764705882</v>
      </c>
    </row>
    <row r="28" customFormat="false" ht="15" hidden="false" customHeight="false" outlineLevel="0" collapsed="false">
      <c r="A28" s="6" t="s">
        <v>45</v>
      </c>
      <c r="B28" s="17" t="n">
        <v>4.5</v>
      </c>
      <c r="C28" s="3" t="s">
        <v>46</v>
      </c>
      <c r="D28" s="3"/>
      <c r="E28" s="3"/>
      <c r="F28" s="3"/>
      <c r="G28" s="3"/>
      <c r="H28" s="3"/>
      <c r="I28" s="3"/>
    </row>
    <row r="29" customFormat="false" ht="15" hidden="false" customHeight="false" outlineLevel="0" collapsed="false">
      <c r="A29" s="6" t="s">
        <v>47</v>
      </c>
      <c r="B29" s="9" t="n">
        <f aca="false">B20*B28</f>
        <v>612</v>
      </c>
    </row>
    <row r="30" customFormat="false" ht="15" hidden="false" customHeight="false" outlineLevel="0" collapsed="false">
      <c r="A30" s="6" t="s">
        <v>48</v>
      </c>
      <c r="B30" s="9" t="n">
        <f aca="false">MAX(0,B26-B29)</f>
        <v>0</v>
      </c>
      <c r="C30" s="3" t="s">
        <v>49</v>
      </c>
      <c r="D30" s="3"/>
      <c r="E30" s="3"/>
      <c r="F30" s="3"/>
      <c r="G30" s="3"/>
      <c r="H30" s="3"/>
      <c r="I30" s="3"/>
    </row>
    <row r="31" customFormat="false" ht="15" hidden="false" customHeight="false" outlineLevel="0" collapsed="false">
      <c r="A31" s="18" t="s">
        <v>50</v>
      </c>
      <c r="B31" s="18"/>
      <c r="C31" s="18"/>
      <c r="D31" s="18"/>
      <c r="E31" s="18"/>
      <c r="F31" s="18"/>
      <c r="G31" s="18"/>
      <c r="H31" s="18"/>
      <c r="I31" s="18"/>
    </row>
    <row r="32" customFormat="false" ht="15" hidden="false" customHeight="false" outlineLevel="0" collapsed="false">
      <c r="A32" s="19" t="s">
        <v>51</v>
      </c>
      <c r="B32" s="20" t="n">
        <v>0.5</v>
      </c>
    </row>
    <row r="33" customFormat="false" ht="15" hidden="false" customHeight="false" outlineLevel="0" collapsed="false">
      <c r="A33" s="19" t="s">
        <v>52</v>
      </c>
      <c r="B33" s="20" t="n">
        <v>0.3</v>
      </c>
    </row>
    <row r="34" customFormat="false" ht="15" hidden="false" customHeight="false" outlineLevel="0" collapsed="false">
      <c r="A34" s="19" t="s">
        <v>53</v>
      </c>
      <c r="B34" s="20" t="n">
        <v>0.2</v>
      </c>
    </row>
    <row r="35" customFormat="false" ht="15" hidden="false" customHeight="false" outlineLevel="0" collapsed="false">
      <c r="A35" s="19" t="s">
        <v>54</v>
      </c>
      <c r="B35" s="21" t="n">
        <f aca="false">SUM(B32:B34)</f>
        <v>1</v>
      </c>
      <c r="C35" s="3" t="s">
        <v>55</v>
      </c>
      <c r="D35" s="3"/>
      <c r="E35" s="3"/>
      <c r="F35" s="3"/>
      <c r="G35" s="3"/>
      <c r="H35" s="3"/>
      <c r="I35" s="3"/>
    </row>
    <row r="36" customFormat="false" ht="15" hidden="false" customHeight="false" outlineLevel="0" collapsed="false">
      <c r="A36" s="19" t="s">
        <v>56</v>
      </c>
      <c r="B36" s="22" t="n">
        <f aca="false">B30*B32</f>
        <v>0</v>
      </c>
    </row>
    <row r="37" customFormat="false" ht="15" hidden="false" customHeight="false" outlineLevel="0" collapsed="false">
      <c r="A37" s="23" t="s">
        <v>57</v>
      </c>
      <c r="B37" s="24" t="n">
        <f aca="false">B26-B36</f>
        <v>397</v>
      </c>
    </row>
    <row r="38" customFormat="false" ht="15" hidden="false" customHeight="false" outlineLevel="0" collapsed="false">
      <c r="A38" s="19" t="s">
        <v>58</v>
      </c>
      <c r="B38" s="22" t="n">
        <f aca="false">B30*B33</f>
        <v>0</v>
      </c>
    </row>
    <row r="39" customFormat="false" ht="15" hidden="false" customHeight="false" outlineLevel="0" collapsed="false">
      <c r="A39" s="19" t="s">
        <v>59</v>
      </c>
      <c r="B39" s="22" t="n">
        <f aca="false">B30*B34</f>
        <v>0</v>
      </c>
    </row>
    <row r="41" customFormat="false" ht="19.5" hidden="false" customHeight="true" outlineLevel="0" collapsed="false">
      <c r="A41" s="4" t="s">
        <v>60</v>
      </c>
      <c r="B41" s="4"/>
      <c r="C41" s="4"/>
      <c r="D41" s="4"/>
      <c r="E41" s="4"/>
      <c r="F41" s="4"/>
      <c r="G41" s="4"/>
      <c r="H41" s="4"/>
      <c r="I41" s="4"/>
    </row>
    <row r="42" customFormat="false" ht="15" hidden="false" customHeight="false" outlineLevel="0" collapsed="false">
      <c r="A42" s="12" t="s">
        <v>61</v>
      </c>
      <c r="B42" s="13" t="n">
        <f aca="false">MIN(B26,B29)-B20</f>
        <v>261</v>
      </c>
    </row>
    <row r="43" customFormat="false" ht="15" hidden="false" customHeight="false" outlineLevel="0" collapsed="false">
      <c r="A43" s="25" t="s">
        <v>62</v>
      </c>
      <c r="B43" s="25" t="s">
        <v>63</v>
      </c>
      <c r="C43" s="25" t="s">
        <v>64</v>
      </c>
      <c r="D43" s="25" t="s">
        <v>65</v>
      </c>
      <c r="E43" s="25" t="s">
        <v>66</v>
      </c>
    </row>
    <row r="44" customFormat="false" ht="15" hidden="false" customHeight="false" outlineLevel="0" collapsed="false">
      <c r="A44" s="6" t="s">
        <v>67</v>
      </c>
      <c r="B44" s="26" t="n">
        <v>0.5</v>
      </c>
      <c r="C44" s="15" t="n">
        <f aca="false">1-B44</f>
        <v>0.5</v>
      </c>
      <c r="D44" s="9" t="n">
        <f aca="false">B44*$B$42</f>
        <v>130.5</v>
      </c>
      <c r="E44" s="9" t="n">
        <f aca="false">C44*$B$42</f>
        <v>130.5</v>
      </c>
    </row>
    <row r="45" customFormat="false" ht="15" hidden="false" customHeight="false" outlineLevel="0" collapsed="false">
      <c r="A45" s="6" t="s">
        <v>68</v>
      </c>
      <c r="B45" s="26" t="n">
        <v>0.35</v>
      </c>
      <c r="C45" s="15" t="n">
        <f aca="false">1-B45</f>
        <v>0.65</v>
      </c>
      <c r="D45" s="9" t="n">
        <f aca="false">B45*$B$42</f>
        <v>91.35</v>
      </c>
      <c r="E45" s="9" t="n">
        <f aca="false">C45*$B$42</f>
        <v>169.65</v>
      </c>
    </row>
    <row r="46" customFormat="false" ht="15" hidden="false" customHeight="false" outlineLevel="0" collapsed="false">
      <c r="A46" s="6" t="s">
        <v>69</v>
      </c>
      <c r="B46" s="26" t="n">
        <v>0.2</v>
      </c>
      <c r="C46" s="15" t="n">
        <f aca="false">1-B46</f>
        <v>0.8</v>
      </c>
      <c r="D46" s="9" t="n">
        <f aca="false">B46*$B$42</f>
        <v>52.2</v>
      </c>
      <c r="E46" s="9" t="n">
        <f aca="false">C46*$B$42</f>
        <v>208.8</v>
      </c>
    </row>
    <row r="47" customFormat="false" ht="15" hidden="false" customHeight="false" outlineLevel="0" collapsed="false">
      <c r="A47" s="6" t="s">
        <v>70</v>
      </c>
      <c r="B47" s="26" t="n">
        <v>0.4</v>
      </c>
    </row>
    <row r="48" customFormat="false" ht="15" hidden="false" customHeight="false" outlineLevel="0" collapsed="false">
      <c r="A48" s="6" t="s">
        <v>71</v>
      </c>
      <c r="B48" s="9" t="n">
        <f aca="false">D44*B47</f>
        <v>52.2</v>
      </c>
    </row>
    <row r="49" customFormat="false" ht="15" hidden="false" customHeight="false" outlineLevel="0" collapsed="false">
      <c r="A49" s="6" t="s">
        <v>72</v>
      </c>
      <c r="B49" s="9" t="n">
        <f aca="false">D44-B48</f>
        <v>78.3</v>
      </c>
    </row>
    <row r="51" customFormat="false" ht="19.5" hidden="false" customHeight="true" outlineLevel="0" collapsed="false">
      <c r="A51" s="4" t="s">
        <v>73</v>
      </c>
      <c r="B51" s="4"/>
      <c r="C51" s="4"/>
      <c r="D51" s="4"/>
      <c r="E51" s="4"/>
      <c r="F51" s="4"/>
      <c r="G51" s="4"/>
      <c r="H51" s="4"/>
      <c r="I51" s="4"/>
    </row>
    <row r="52" customFormat="false" ht="15" hidden="false" customHeight="false" outlineLevel="0" collapsed="false">
      <c r="A52" s="6" t="s">
        <v>74</v>
      </c>
      <c r="B52" s="26" t="n">
        <v>0.35</v>
      </c>
    </row>
    <row r="53" customFormat="false" ht="15" hidden="false" customHeight="false" outlineLevel="0" collapsed="false">
      <c r="A53" s="25" t="s">
        <v>75</v>
      </c>
      <c r="B53" s="25" t="s">
        <v>76</v>
      </c>
      <c r="C53" s="25" t="s">
        <v>77</v>
      </c>
      <c r="D53" s="25" t="s">
        <v>78</v>
      </c>
    </row>
    <row r="54" customFormat="false" ht="15" hidden="false" customHeight="false" outlineLevel="0" collapsed="false">
      <c r="A54" s="27" t="n">
        <v>10</v>
      </c>
      <c r="B54" s="15" t="n">
        <f aca="false">$B$52*(LOG10(A54)-1)/3</f>
        <v>0</v>
      </c>
      <c r="C54" s="14" t="n">
        <f aca="false">$B$21*(1-B54)</f>
        <v>18</v>
      </c>
      <c r="D54" s="9" t="n">
        <f aca="false">$B$20-$B$21*B54</f>
        <v>136</v>
      </c>
    </row>
    <row r="55" customFormat="false" ht="15" hidden="false" customHeight="false" outlineLevel="0" collapsed="false">
      <c r="A55" s="27" t="n">
        <v>100</v>
      </c>
      <c r="B55" s="15" t="n">
        <f aca="false">$B$52*(LOG10(A55)-1)/3</f>
        <v>0.116666666666667</v>
      </c>
      <c r="C55" s="14" t="n">
        <f aca="false">$B$21*(1-B55)</f>
        <v>15.9</v>
      </c>
      <c r="D55" s="9" t="n">
        <f aca="false">$B$20-$B$21*B55</f>
        <v>133.9</v>
      </c>
    </row>
    <row r="56" customFormat="false" ht="15" hidden="false" customHeight="false" outlineLevel="0" collapsed="false">
      <c r="A56" s="27" t="n">
        <v>1000</v>
      </c>
      <c r="B56" s="15" t="n">
        <f aca="false">$B$52*(LOG10(A56)-1)/3</f>
        <v>0.233333333333333</v>
      </c>
      <c r="C56" s="14" t="n">
        <f aca="false">$B$21*(1-B56)</f>
        <v>13.8</v>
      </c>
      <c r="D56" s="9" t="n">
        <f aca="false">$B$20-$B$21*B56</f>
        <v>131.8</v>
      </c>
    </row>
    <row r="57" customFormat="false" ht="15" hidden="false" customHeight="false" outlineLevel="0" collapsed="false">
      <c r="A57" s="27" t="n">
        <v>10000</v>
      </c>
      <c r="B57" s="15" t="n">
        <f aca="false">$B$52*(LOG10(A57)-1)/3</f>
        <v>0.35</v>
      </c>
      <c r="C57" s="14" t="n">
        <f aca="false">$B$21*(1-B57)</f>
        <v>11.7</v>
      </c>
      <c r="D57" s="9" t="n">
        <f aca="false">$B$20-$B$21*B57</f>
        <v>129.7</v>
      </c>
    </row>
    <row r="59" customFormat="false" ht="19.5" hidden="false" customHeight="true" outlineLevel="0" collapsed="false">
      <c r="A59" s="4" t="s">
        <v>79</v>
      </c>
      <c r="B59" s="4"/>
      <c r="C59" s="4"/>
      <c r="D59" s="4"/>
      <c r="E59" s="4"/>
      <c r="F59" s="4"/>
      <c r="G59" s="4"/>
      <c r="H59" s="4"/>
      <c r="I59" s="4"/>
    </row>
    <row r="60" customFormat="false" ht="15" hidden="false" customHeight="false" outlineLevel="0" collapsed="false">
      <c r="A60" s="6" t="s">
        <v>80</v>
      </c>
      <c r="B60" s="27" t="n">
        <v>100</v>
      </c>
    </row>
    <row r="61" customFormat="false" ht="15" hidden="false" customHeight="false" outlineLevel="0" collapsed="false">
      <c r="A61" s="6" t="s">
        <v>81</v>
      </c>
      <c r="B61" s="9" t="n">
        <f aca="false">B60*B37</f>
        <v>39700</v>
      </c>
    </row>
    <row r="62" customFormat="false" ht="15" hidden="false" customHeight="false" outlineLevel="0" collapsed="false">
      <c r="A62" s="6" t="s">
        <v>82</v>
      </c>
      <c r="B62" s="9" t="n">
        <f aca="false">B60*B21</f>
        <v>1800</v>
      </c>
    </row>
    <row r="63" customFormat="false" ht="15" hidden="false" customHeight="false" outlineLevel="0" collapsed="false">
      <c r="A63" s="6" t="s">
        <v>83</v>
      </c>
      <c r="B63" s="9" t="n">
        <f aca="false">B60*B22</f>
        <v>11800</v>
      </c>
    </row>
    <row r="64" customFormat="false" ht="15" hidden="false" customHeight="false" outlineLevel="0" collapsed="false">
      <c r="A64" s="6" t="s">
        <v>84</v>
      </c>
      <c r="B64" s="9" t="n">
        <f aca="false">B60*B42</f>
        <v>26100</v>
      </c>
    </row>
    <row r="65" customFormat="false" ht="15" hidden="false" customHeight="false" outlineLevel="0" collapsed="false">
      <c r="A65" s="6" t="s">
        <v>85</v>
      </c>
      <c r="B65" s="9" t="n">
        <f aca="false">B60*B38</f>
        <v>0</v>
      </c>
    </row>
    <row r="66" customFormat="false" ht="15" hidden="false" customHeight="false" outlineLevel="0" collapsed="false">
      <c r="A66" s="12" t="s">
        <v>86</v>
      </c>
      <c r="B66" s="13" t="n">
        <f aca="false">B63+B60*B49</f>
        <v>19630</v>
      </c>
    </row>
    <row r="67" customFormat="false" ht="15" hidden="false" customHeight="false" outlineLevel="0" collapsed="false">
      <c r="A67" s="6" t="s">
        <v>87</v>
      </c>
      <c r="B67" s="9" t="n">
        <f aca="false">B60*(E44+B39)</f>
        <v>13050</v>
      </c>
    </row>
    <row r="69" customFormat="false" ht="43.5" hidden="false" customHeight="true" outlineLevel="0" collapsed="false">
      <c r="A69" s="28" t="s">
        <v>88</v>
      </c>
      <c r="B69" s="28"/>
      <c r="C69" s="28"/>
      <c r="D69" s="28"/>
      <c r="E69" s="28"/>
      <c r="F69" s="28"/>
      <c r="G69" s="28"/>
      <c r="H69" s="28"/>
      <c r="I69" s="28"/>
    </row>
    <row r="70" customFormat="false" ht="39.75" hidden="false" customHeight="true" outlineLevel="0" collapsed="false">
      <c r="A70" s="28" t="s">
        <v>89</v>
      </c>
      <c r="B70" s="28"/>
      <c r="C70" s="28"/>
      <c r="D70" s="28"/>
      <c r="E70" s="28"/>
      <c r="F70" s="28"/>
      <c r="G70" s="28"/>
      <c r="H70" s="28"/>
      <c r="I70" s="28"/>
    </row>
    <row r="72" customFormat="false" ht="19.5" hidden="false" customHeight="true" outlineLevel="0" collapsed="false">
      <c r="A72" s="4" t="s">
        <v>90</v>
      </c>
      <c r="B72" s="4"/>
      <c r="C72" s="4"/>
      <c r="D72" s="4"/>
      <c r="E72" s="4"/>
      <c r="F72" s="4"/>
      <c r="G72" s="4"/>
      <c r="H72" s="4"/>
      <c r="I72" s="4"/>
    </row>
    <row r="73" customFormat="false" ht="30" hidden="false" customHeight="true" outlineLevel="0" collapsed="false">
      <c r="A73" s="28" t="s">
        <v>91</v>
      </c>
      <c r="B73" s="28"/>
      <c r="C73" s="28"/>
      <c r="D73" s="28"/>
      <c r="E73" s="28"/>
      <c r="F73" s="28"/>
      <c r="G73" s="28"/>
      <c r="H73" s="28"/>
      <c r="I73" s="28"/>
    </row>
    <row r="74" customFormat="false" ht="15" hidden="false" customHeight="false" outlineLevel="0" collapsed="false">
      <c r="A74" s="29" t="s">
        <v>92</v>
      </c>
      <c r="B74" s="12" t="s">
        <v>93</v>
      </c>
      <c r="C74" s="3" t="s">
        <v>94</v>
      </c>
      <c r="D74" s="3"/>
      <c r="E74" s="3"/>
      <c r="F74" s="3"/>
      <c r="G74" s="3"/>
      <c r="H74" s="3"/>
      <c r="I74" s="3"/>
    </row>
    <row r="76" customFormat="false" ht="15" hidden="false" customHeight="false" outlineLevel="0" collapsed="false">
      <c r="A76" s="25" t="s">
        <v>95</v>
      </c>
      <c r="B76" s="25" t="s">
        <v>96</v>
      </c>
      <c r="C76" s="25" t="s">
        <v>10</v>
      </c>
      <c r="D76" s="25" t="s">
        <v>11</v>
      </c>
      <c r="E76" s="30" t="s">
        <v>97</v>
      </c>
      <c r="F76" s="30"/>
      <c r="G76" s="30"/>
      <c r="H76" s="30"/>
      <c r="I76" s="30"/>
    </row>
    <row r="77" customFormat="false" ht="15" hidden="false" customHeight="false" outlineLevel="0" collapsed="false">
      <c r="A77" s="6" t="s">
        <v>98</v>
      </c>
      <c r="B77" s="6" t="s">
        <v>99</v>
      </c>
      <c r="C77" s="10" t="n">
        <v>0.06</v>
      </c>
      <c r="D77" s="10" t="n">
        <v>0.05</v>
      </c>
      <c r="E77" s="3" t="s">
        <v>100</v>
      </c>
      <c r="F77" s="3"/>
      <c r="G77" s="3"/>
      <c r="H77" s="3"/>
      <c r="I77" s="3"/>
    </row>
    <row r="78" customFormat="false" ht="15" hidden="false" customHeight="false" outlineLevel="0" collapsed="false">
      <c r="A78" s="6" t="s">
        <v>101</v>
      </c>
      <c r="B78" s="6" t="s">
        <v>102</v>
      </c>
      <c r="C78" s="10" t="n">
        <v>0.5</v>
      </c>
      <c r="D78" s="10" t="n">
        <v>0.2</v>
      </c>
      <c r="E78" s="3" t="s">
        <v>103</v>
      </c>
      <c r="F78" s="3"/>
      <c r="G78" s="3"/>
      <c r="H78" s="3"/>
      <c r="I78" s="3"/>
    </row>
    <row r="79" customFormat="false" ht="15" hidden="false" customHeight="false" outlineLevel="0" collapsed="false">
      <c r="A79" s="6" t="s">
        <v>104</v>
      </c>
      <c r="B79" s="6" t="s">
        <v>105</v>
      </c>
      <c r="C79" s="10" t="n">
        <v>2</v>
      </c>
      <c r="D79" s="10" t="n">
        <v>0.3</v>
      </c>
      <c r="E79" s="3" t="s">
        <v>106</v>
      </c>
      <c r="F79" s="3"/>
      <c r="G79" s="3"/>
      <c r="H79" s="3"/>
      <c r="I79" s="3"/>
    </row>
    <row r="81" customFormat="false" ht="43.5" hidden="false" customHeight="true" outlineLevel="0" collapsed="false">
      <c r="A81" s="28" t="s">
        <v>107</v>
      </c>
      <c r="B81" s="28"/>
      <c r="C81" s="28"/>
      <c r="D81" s="28"/>
      <c r="E81" s="28"/>
      <c r="F81" s="28"/>
      <c r="G81" s="28"/>
      <c r="H81" s="28"/>
      <c r="I81" s="28"/>
    </row>
  </sheetData>
  <mergeCells count="25">
    <mergeCell ref="A1:I1"/>
    <mergeCell ref="A2:I2"/>
    <mergeCell ref="A3:I3"/>
    <mergeCell ref="A5:I5"/>
    <mergeCell ref="A19:I19"/>
    <mergeCell ref="C20:I20"/>
    <mergeCell ref="A25:I25"/>
    <mergeCell ref="C26:I26"/>
    <mergeCell ref="C28:I28"/>
    <mergeCell ref="C30:I30"/>
    <mergeCell ref="A31:I31"/>
    <mergeCell ref="C35:I35"/>
    <mergeCell ref="A41:I41"/>
    <mergeCell ref="A51:I51"/>
    <mergeCell ref="A59:I59"/>
    <mergeCell ref="A69:I69"/>
    <mergeCell ref="A70:I70"/>
    <mergeCell ref="A72:I72"/>
    <mergeCell ref="A73:I73"/>
    <mergeCell ref="C74:I74"/>
    <mergeCell ref="E76:I76"/>
    <mergeCell ref="E77:I77"/>
    <mergeCell ref="E78:I78"/>
    <mergeCell ref="E79:I79"/>
    <mergeCell ref="A81:I8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2026-06-03T08:05:59Z</dcterms:created>
  <dc:creator>openpyxl</dc:creator>
  <dc:description/>
  <dc:language>en-US</dc:language>
  <cp:lastModifiedBy/>
  <dcterms:modified xsi:type="dcterms:W3CDTF">2026-06-03T08:05:59Z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